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filterPrivacy="1"/>
  <xr:revisionPtr revIDLastSave="0" documentId="13_ncr:1_{25AAB7FF-FD2A-4C43-9FA2-B82E1D5243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</sheets>
  <definedNames>
    <definedName name="_xlnm.Print_Area" localSheetId="0">ورقة1!$A$1:$C$42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38" i="1"/>
  <c r="B22" i="1"/>
  <c r="C33" i="1"/>
  <c r="A26" i="1"/>
  <c r="C14" i="1"/>
  <c r="B39" i="1"/>
  <c r="C39" i="1"/>
  <c r="C38" i="1"/>
  <c r="C35" i="1"/>
  <c r="A29" i="1"/>
  <c r="A27" i="1"/>
  <c r="B29" i="1" s="1"/>
  <c r="C10" i="1" l="1"/>
</calcChain>
</file>

<file path=xl/sharedStrings.xml><?xml version="1.0" encoding="utf-8"?>
<sst xmlns="http://schemas.openxmlformats.org/spreadsheetml/2006/main" count="49" uniqueCount="45">
  <si>
    <t>Shipping Instructions</t>
  </si>
  <si>
    <t>Please make sure to follow these instructions to insure that the goods are cleared smoothly</t>
  </si>
  <si>
    <t>Product:</t>
  </si>
  <si>
    <t>Quantity:</t>
  </si>
  <si>
    <t>Price per KG:</t>
  </si>
  <si>
    <t>Specs / Special Requirements</t>
  </si>
  <si>
    <t>Origin:</t>
  </si>
  <si>
    <t>Label:</t>
  </si>
  <si>
    <t>Label Type:</t>
  </si>
  <si>
    <t>Required information on the labels:</t>
  </si>
  <si>
    <t>Product Name :</t>
  </si>
  <si>
    <t>Name on the labels should be exactly the same as mentioned, without any other additions</t>
  </si>
  <si>
    <t>Batch No:</t>
  </si>
  <si>
    <t>Net Weight:</t>
  </si>
  <si>
    <t>Gross Weight:</t>
  </si>
  <si>
    <t>Mfg Date:</t>
  </si>
  <si>
    <t>Exp/Retest Date:</t>
  </si>
  <si>
    <t>Made in:</t>
  </si>
  <si>
    <t>Can be added as a side stickers/ shipping marks</t>
  </si>
  <si>
    <t xml:space="preserve"> please add 2 samples &amp; Working standards, Let us know which drum contains them by taking a picture</t>
  </si>
  <si>
    <t>This is a requirement by customs &amp; ministry of health</t>
  </si>
  <si>
    <t>Consignee &amp; Notify Parties:</t>
  </si>
  <si>
    <t>Documents</t>
  </si>
  <si>
    <t>Make sure not to put/Send any documents with the goods at all Please also confirm
with your forwarder</t>
  </si>
  <si>
    <t>Required Documents to clear the goods:</t>
  </si>
  <si>
    <t>2 Copies</t>
  </si>
  <si>
    <t>Invoice</t>
  </si>
  <si>
    <t>Packing list</t>
  </si>
  <si>
    <t>COO</t>
  </si>
  <si>
    <t>1 Copy</t>
  </si>
  <si>
    <t>Original AWB Copy</t>
  </si>
  <si>
    <t>Original CoA Copy</t>
  </si>
  <si>
    <t>1Copy</t>
  </si>
  <si>
    <t>Courier Address:</t>
  </si>
  <si>
    <t>Supplier Signature &amp; Stamp:</t>
  </si>
  <si>
    <t>Dated:</t>
  </si>
  <si>
    <t>Air  Shipment</t>
  </si>
  <si>
    <t xml:space="preserve">Samples &amp; Working Standard  , it must be sample before the shipment from the same shipping bacth </t>
  </si>
  <si>
    <t>Inco terms: CIF  Amman by Air</t>
  </si>
  <si>
    <t>Ready Goods for Prompt Shipment / goods must beas same as per EP with Bacterial test as per typical</t>
  </si>
  <si>
    <t xml:space="preserve"> Adapalene EP </t>
  </si>
  <si>
    <t>full</t>
  </si>
  <si>
    <t xml:space="preserve">M/S Al-Motakadema pharmaceutical LTD 
Aldfaa Almdni street, building 43 
Alsalt industrial zone – Jordan </t>
  </si>
  <si>
    <t>china</t>
  </si>
  <si>
    <t>Sedanah  
MR. ALAA KASSOUMEH 
MOBILE : 00961 81 970 177  
Address: Beirut - Lebanon   
Alchayah Behind mar Mekhayel church  
Jaber bldg. 
10th floor 
Zip code: 1245 
Email: alaakassoumeh92@gmail.com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</si>
</sst>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KGS]\ * #,##0.00_);_([$KGS]\ * \(#,##0.00\);_([$KGS]\ * &quot;-&quot;??_);_(@_)"/>
  </numFmts>
  <fonts count="11" x14ac:knownFonts="1">
    <font>
      <sz val="11"/>
      <color theme="1"/>
      <name val="Calibri"/>
      <family val="2"/>
      <scheme val="minor"/>
    </font>
    <font>
      <b/>
      <sz val="28"/>
      <color theme="0"/>
      <name val="Cambria"/>
      <family val="1"/>
    </font>
    <font>
      <b/>
      <sz val="14"/>
      <color theme="0"/>
      <name val="Cambria"/>
      <family val="1"/>
    </font>
    <font>
      <u/>
      <sz val="11"/>
      <color theme="1"/>
      <name val="Cambria"/>
      <family val="1"/>
    </font>
    <font>
      <sz val="11"/>
      <color theme="1"/>
      <name val="Cambria"/>
      <family val="1"/>
    </font>
    <font>
      <sz val="16"/>
      <color theme="0"/>
      <name val="Cambria"/>
      <family val="1"/>
    </font>
    <font>
      <u/>
      <sz val="14"/>
      <color rgb="FFFF0000"/>
      <name val="Cambria"/>
      <family val="1"/>
    </font>
    <font>
      <b/>
      <u/>
      <sz val="18"/>
      <color theme="1"/>
      <name val="Cambria"/>
      <family val="1"/>
    </font>
    <font>
      <b/>
      <sz val="16"/>
      <color rgb="FFFF0000"/>
      <name val="Cambria"/>
      <family val="1"/>
    </font>
    <font>
      <b/>
      <sz val="14"/>
      <color rgb="FFFF0000"/>
      <name val="Cambria"/>
      <family val="1"/>
    </font>
    <font>
      <sz val="11"/>
      <color rgb="FF000000"/>
      <name val="Cambria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4" fillId="0" borderId="8" xfId="0" applyFont="1" applyBorder="1"/>
    <xf numFmtId="0" fontId="4" fillId="0" borderId="1" xfId="0" applyFont="1" applyBorder="1"/>
    <xf numFmtId="164" fontId="4" fillId="0" borderId="1" xfId="0" applyNumberFormat="1" applyFont="1" applyBorder="1"/>
    <xf numFmtId="44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8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4" fillId="0" borderId="9" xfId="0" applyFont="1" applyBorder="1"/>
    <xf numFmtId="0" fontId="4" fillId="0" borderId="10" xfId="0" applyFont="1" applyBorder="1"/>
    <xf numFmtId="0" fontId="4" fillId="0" borderId="10" xfId="0" applyFont="1" applyBorder="1" applyAlignment="1">
      <alignment wrapText="1"/>
    </xf>
    <xf numFmtId="0" fontId="7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/>
    <xf numFmtId="0" fontId="7" fillId="0" borderId="12" xfId="0" applyFont="1" applyBorder="1" applyAlignment="1">
      <alignment horizontal="center" vertical="center" wrapText="1"/>
    </xf>
    <xf numFmtId="0" fontId="4" fillId="0" borderId="0" xfId="0" applyFont="1"/>
    <xf numFmtId="0" fontId="10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top"/>
    </xf>
    <xf numFmtId="0" fontId="8" fillId="6" borderId="5" xfId="0" applyFont="1" applyFill="1" applyBorder="1" applyAlignment="1">
      <alignment horizontal="left" vertical="top"/>
    </xf>
    <xf numFmtId="0" fontId="8" fillId="6" borderId="2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4" borderId="11" xfId="0" applyFont="1" applyFill="1" applyBorder="1" applyAlignment="1">
      <alignment horizontal="left" vertical="top"/>
    </xf>
    <xf numFmtId="44" fontId="4" fillId="0" borderId="9" xfId="0" applyNumberFormat="1" applyFont="1" applyBorder="1" applyAlignment="1">
      <alignment horizontal="center" vertical="center" wrapText="1"/>
    </xf>
    <xf numFmtId="44" fontId="4" fillId="0" borderId="8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83CAFF"/>
      <color rgb="FF3904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view="pageBreakPreview" zoomScaleNormal="100" zoomScaleSheetLayoutView="100" workbookViewId="0">
      <selection activeCell="C40" sqref="C40"/>
    </sheetView>
  </sheetViews>
  <sheetFormatPr defaultRowHeight="15" x14ac:dyDescent="0.25"/>
  <cols>
    <col min="1" max="1" width="26.7109375" customWidth="1"/>
    <col min="2" max="2" width="63.5703125" customWidth="1"/>
    <col min="3" max="3" width="52.7109375" customWidth="1"/>
  </cols>
  <sheetData>
    <row r="1" spans="1:5" ht="14.45" customHeight="1" x14ac:dyDescent="0.25">
      <c r="A1" s="22" t="s">
        <v>0</v>
      </c>
      <c r="B1" s="22"/>
      <c r="C1" s="23"/>
    </row>
    <row r="2" spans="1:5" ht="14.45" customHeight="1" x14ac:dyDescent="0.25">
      <c r="A2" s="24"/>
      <c r="B2" s="24"/>
      <c r="C2" s="25"/>
    </row>
    <row r="3" spans="1:5" ht="14.45" customHeight="1" x14ac:dyDescent="0.25">
      <c r="A3" s="24"/>
      <c r="B3" s="24"/>
      <c r="C3" s="25"/>
    </row>
    <row r="4" spans="1:5" ht="14.45" customHeight="1" x14ac:dyDescent="0.25">
      <c r="A4" s="24"/>
      <c r="B4" s="24"/>
      <c r="C4" s="25"/>
    </row>
    <row r="5" spans="1:5" ht="14.45" customHeight="1" x14ac:dyDescent="0.25">
      <c r="A5" s="26"/>
      <c r="B5" s="26"/>
      <c r="C5" s="27"/>
    </row>
    <row r="6" spans="1:5" ht="18" customHeight="1" x14ac:dyDescent="0.25">
      <c r="A6" s="31" t="s">
        <v>36</v>
      </c>
      <c r="B6" s="32"/>
      <c r="C6" s="32"/>
      <c r="E6" s="1"/>
    </row>
    <row r="7" spans="1:5" ht="14.45" customHeight="1" x14ac:dyDescent="0.25">
      <c r="A7" s="33" t="s">
        <v>1</v>
      </c>
      <c r="B7" s="34"/>
      <c r="C7" s="34"/>
    </row>
    <row r="8" spans="1:5" ht="14.45" customHeight="1" x14ac:dyDescent="0.25">
      <c r="A8" s="2" t="s">
        <v>2</v>
      </c>
      <c r="B8" s="20" t="s">
        <v>40</v>
      </c>
      <c r="C8" s="3"/>
    </row>
    <row r="9" spans="1:5" ht="14.45" customHeight="1" x14ac:dyDescent="0.25">
      <c r="A9" s="2" t="s">
        <v>3</v>
      </c>
      <c r="B9" s="4">
        <v>1</v>
      </c>
      <c r="C9" s="3" t="s">
        <v>38</v>
      </c>
    </row>
    <row r="10" spans="1:5" ht="14.45" customHeight="1" x14ac:dyDescent="0.25">
      <c r="A10" s="2" t="s">
        <v>4</v>
      </c>
      <c r="B10" s="5">
        <v>2340</v>
      </c>
      <c r="C10" s="5">
        <f>B9*B10</f>
        <v>2340</v>
      </c>
    </row>
    <row r="11" spans="1:5" ht="14.45" customHeight="1" x14ac:dyDescent="0.25">
      <c r="A11" s="2" t="s">
        <v>5</v>
      </c>
      <c r="B11" s="41" t="s">
        <v>39</v>
      </c>
      <c r="C11" s="42"/>
    </row>
    <row r="12" spans="1:5" ht="14.45" customHeight="1" x14ac:dyDescent="0.25">
      <c r="A12" s="2" t="s">
        <v>6</v>
      </c>
      <c r="B12" s="6" t="s">
        <v>43</v>
      </c>
      <c r="C12" s="3"/>
    </row>
    <row r="13" spans="1:5" ht="21" customHeight="1" x14ac:dyDescent="0.25">
      <c r="A13" s="38" t="s">
        <v>7</v>
      </c>
      <c r="B13" s="39"/>
      <c r="C13" s="39"/>
    </row>
    <row r="14" spans="1:5" ht="28.9" customHeight="1" x14ac:dyDescent="0.25">
      <c r="A14" s="7" t="s">
        <v>8</v>
      </c>
      <c r="B14" s="8" t="s">
        <v>41</v>
      </c>
      <c r="C14" s="9" t="str">
        <f>IF($B$14="Neutral","No inner labels or mention of manufacturer's name / logo on anywhere on the packages","")</f>
        <v/>
      </c>
    </row>
    <row r="15" spans="1:5" ht="28.9" customHeight="1" x14ac:dyDescent="0.25">
      <c r="A15" s="10" t="s">
        <v>9</v>
      </c>
      <c r="B15" s="9"/>
      <c r="C15" s="3"/>
    </row>
    <row r="16" spans="1:5" ht="28.9" customHeight="1" x14ac:dyDescent="0.25">
      <c r="A16" s="7" t="s">
        <v>10</v>
      </c>
      <c r="B16" s="8" t="str">
        <f>$B$8</f>
        <v xml:space="preserve"> Adapalene EP </v>
      </c>
      <c r="C16" s="8" t="s">
        <v>11</v>
      </c>
    </row>
    <row r="17" spans="1:3" x14ac:dyDescent="0.25">
      <c r="A17" s="3" t="s">
        <v>12</v>
      </c>
      <c r="B17" s="3"/>
      <c r="C17" s="3"/>
    </row>
    <row r="18" spans="1:3" x14ac:dyDescent="0.25">
      <c r="A18" s="3" t="s">
        <v>13</v>
      </c>
      <c r="B18" s="3"/>
      <c r="C18" s="3"/>
    </row>
    <row r="19" spans="1:3" x14ac:dyDescent="0.25">
      <c r="A19" s="3" t="s">
        <v>14</v>
      </c>
      <c r="B19" s="3"/>
      <c r="C19" s="3"/>
    </row>
    <row r="20" spans="1:3" x14ac:dyDescent="0.25">
      <c r="A20" s="3" t="s">
        <v>15</v>
      </c>
      <c r="B20" s="3"/>
      <c r="C20" s="3"/>
    </row>
    <row r="21" spans="1:3" x14ac:dyDescent="0.25">
      <c r="A21" s="3" t="s">
        <v>16</v>
      </c>
      <c r="B21" s="3"/>
      <c r="C21" s="3"/>
    </row>
    <row r="22" spans="1:3" x14ac:dyDescent="0.25">
      <c r="A22" s="3" t="s">
        <v>17</v>
      </c>
      <c r="B22" s="6" t="str">
        <f>B12</f>
        <v>china</v>
      </c>
      <c r="C22" s="3" t="s">
        <v>18</v>
      </c>
    </row>
    <row r="23" spans="1:3" ht="21" thickBot="1" x14ac:dyDescent="0.3">
      <c r="A23" s="28" t="s">
        <v>37</v>
      </c>
      <c r="B23" s="29"/>
      <c r="C23" s="30"/>
    </row>
    <row r="24" spans="1:3" x14ac:dyDescent="0.25">
      <c r="A24" s="43" t="s">
        <v>19</v>
      </c>
      <c r="B24" s="44"/>
      <c r="C24" s="45"/>
    </row>
    <row r="25" spans="1:3" x14ac:dyDescent="0.25">
      <c r="A25" s="46" t="s">
        <v>20</v>
      </c>
      <c r="B25" s="47"/>
      <c r="C25" s="48"/>
    </row>
    <row r="26" spans="1:3" ht="18.75" thickBot="1" x14ac:dyDescent="0.3">
      <c r="A26" s="49" t="str">
        <f>B14</f>
        <v>full</v>
      </c>
      <c r="B26" s="50"/>
      <c r="C26" s="51"/>
    </row>
    <row r="27" spans="1:3" ht="20.25" x14ac:dyDescent="0.25">
      <c r="A27" s="40" t="str">
        <f>IF(A6="Air Shipment","AWB:","BL Telex Release:")</f>
        <v>BL Telex Release:</v>
      </c>
      <c r="B27" s="40"/>
      <c r="C27" s="40"/>
    </row>
    <row r="28" spans="1:3" ht="42.75" x14ac:dyDescent="0.25">
      <c r="A28" s="6" t="s">
        <v>21</v>
      </c>
      <c r="B28" s="8" t="s">
        <v>42</v>
      </c>
      <c r="C28" s="3"/>
    </row>
    <row r="29" spans="1:3" ht="43.5" x14ac:dyDescent="0.25">
      <c r="A29" s="9" t="str">
        <f>IF(A6="Air Shipment", "Make sure the goods aren't seperated into multiple consignements/Shipments", "Make sure not to book with Maersk / Happag Lloyd Shipping line")</f>
        <v>Make sure not to book with Maersk / Happag Lloyd Shipping line</v>
      </c>
      <c r="B29" s="11" t="str">
        <f>IF(A27="AWB:","Make sure the goods aren't seperated into multiple consignements/Shipments","")</f>
        <v/>
      </c>
      <c r="C29" s="3"/>
    </row>
    <row r="30" spans="1:3" ht="20.25" x14ac:dyDescent="0.3">
      <c r="A30" s="37" t="s">
        <v>22</v>
      </c>
      <c r="B30" s="37"/>
      <c r="C30" s="37"/>
    </row>
    <row r="31" spans="1:3" ht="43.15" customHeight="1" x14ac:dyDescent="0.25">
      <c r="A31" s="35" t="s">
        <v>23</v>
      </c>
      <c r="B31" s="35"/>
      <c r="C31" s="36"/>
    </row>
    <row r="32" spans="1:3" ht="29.25" x14ac:dyDescent="0.25">
      <c r="A32" s="9" t="s">
        <v>24</v>
      </c>
      <c r="B32" s="12"/>
      <c r="C32" s="3"/>
    </row>
    <row r="33" spans="1:3" ht="29.25" x14ac:dyDescent="0.25">
      <c r="A33" s="3" t="s">
        <v>25</v>
      </c>
      <c r="B33" s="12" t="s">
        <v>26</v>
      </c>
      <c r="C33" s="9" t="str">
        <f>IF($B$12="China", "Attested from CCPIT", "Attested from Chamber of Commerce (Hard Copy not Color Printed)")</f>
        <v>Attested from CCPIT</v>
      </c>
    </row>
    <row r="34" spans="1:3" x14ac:dyDescent="0.25">
      <c r="A34" s="3" t="s">
        <v>25</v>
      </c>
      <c r="B34" s="12" t="s">
        <v>27</v>
      </c>
      <c r="C34" s="3"/>
    </row>
    <row r="35" spans="1:3" ht="29.25" x14ac:dyDescent="0.25">
      <c r="A35" s="3" t="s">
        <v>25</v>
      </c>
      <c r="B35" s="12" t="s">
        <v>28</v>
      </c>
      <c r="C35" s="9" t="str">
        <f>IF($B$12="China", "Attested from CCPIT", "Attested from Chamber of Commerce (Hard Copy not Color Printed)")</f>
        <v>Attested from CCPIT</v>
      </c>
    </row>
    <row r="36" spans="1:3" x14ac:dyDescent="0.25">
      <c r="A36" s="3" t="s">
        <v>29</v>
      </c>
      <c r="B36" s="12" t="s">
        <v>30</v>
      </c>
      <c r="C36" s="3"/>
    </row>
    <row r="37" spans="1:3" x14ac:dyDescent="0.25">
      <c r="A37" s="3" t="s">
        <v>25</v>
      </c>
      <c r="B37" s="12" t="s">
        <v>31</v>
      </c>
      <c r="C37" s="3"/>
    </row>
    <row r="38" spans="1:3" ht="29.25" x14ac:dyDescent="0.25">
      <c r="A38" s="3" t="s">
        <v>32</v>
      </c>
      <c r="B38" s="3" t="str">
        <f>IF($B$12="China", "WC Attested from CCPIT", "Valid GMP Attested from Chamber of Commerce (Hard Copy not Color Printed)")</f>
        <v>WC Attested from CCPIT</v>
      </c>
      <c r="C38" s="9" t="str">
        <f>IF($B$12="China", "Attested from CCPIT", "Attested from Chamber of Commerce (Hard Copy not Color Printed)")</f>
        <v>Attested from CCPIT</v>
      </c>
    </row>
    <row r="39" spans="1:3" ht="29.25" x14ac:dyDescent="0.25">
      <c r="A39" s="13" t="s">
        <v>29</v>
      </c>
      <c r="B39" s="13" t="str">
        <f>IF($B$12="China", "Attested from CCPIT", "ISO 9001 Attested from Chamber of Commerce (Hard Copy not Color Printed)")</f>
        <v>Attested from CCPIT</v>
      </c>
      <c r="C39" s="14" t="str">
        <f>IF($B$12="China", "Attested from CCPIT", "Attested from Chamber of Commerce (Hard Copy not Color Printed)")</f>
        <v>Attested from CCPIT</v>
      </c>
    </row>
    <row r="40" spans="1:3" ht="151.5" customHeight="1" x14ac:dyDescent="0.25">
      <c r="A40" s="15" t="s">
        <v>33</v>
      </c>
      <c r="B40" s="16" t="s">
        <v>44</v>
      </c>
      <c r="C40" s="17"/>
    </row>
    <row r="41" spans="1:3" ht="67.5" x14ac:dyDescent="0.25">
      <c r="A41" s="18" t="s">
        <v>34</v>
      </c>
      <c r="B41" s="21"/>
      <c r="C41" s="21"/>
    </row>
    <row r="42" spans="1:3" ht="22.5" x14ac:dyDescent="0.25">
      <c r="A42" s="15" t="s">
        <v>35</v>
      </c>
      <c r="B42" s="21"/>
      <c r="C42" s="21"/>
    </row>
    <row r="43" spans="1:3" x14ac:dyDescent="0.25">
      <c r="A43" s="19"/>
      <c r="B43" s="19"/>
      <c r="C43" s="19"/>
    </row>
  </sheetData>
  <mergeCells count="14">
    <mergeCell ref="B41:C41"/>
    <mergeCell ref="B42:C42"/>
    <mergeCell ref="A1:C5"/>
    <mergeCell ref="A23:C23"/>
    <mergeCell ref="A6:C6"/>
    <mergeCell ref="A7:C7"/>
    <mergeCell ref="A31:C31"/>
    <mergeCell ref="A30:C30"/>
    <mergeCell ref="A13:C13"/>
    <mergeCell ref="A27:C27"/>
    <mergeCell ref="B11:C11"/>
    <mergeCell ref="A24:C24"/>
    <mergeCell ref="A25:C25"/>
    <mergeCell ref="A26:C26"/>
  </mergeCells>
  <conditionalFormatting sqref="B14">
    <cfRule type="containsText" dxfId="1" priority="1" operator="containsText" text="Full">
      <formula>NOT(ISERROR(SEARCH("Full",B14)))</formula>
    </cfRule>
    <cfRule type="containsText" dxfId="0" priority="2" operator="containsText" text="Neutral">
      <formula>NOT(ISERROR(SEARCH("Neutral",B14)))</formula>
    </cfRule>
  </conditionalFormatting>
  <pageMargins left="0.7" right="0.7" top="0.75" bottom="0.75" header="0.3" footer="0.3"/>
  <pageSetup scale="59" fitToWidth="0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E45399D936744B99304F4C906F0E27" ma:contentTypeVersion="18" ma:contentTypeDescription="Create a new document." ma:contentTypeScope="" ma:versionID="cc15d8847542ab8a87e11f5a27078584">
  <xsd:schema xmlns:xsd="http://www.w3.org/2001/XMLSchema" xmlns:xs="http://www.w3.org/2001/XMLSchema" xmlns:p="http://schemas.microsoft.com/office/2006/metadata/properties" xmlns:ns2="a18767e8-cf93-49f3-91ce-a8f6dd60da3c" xmlns:ns3="bd08a9f6-0989-4476-9b1b-04a2222c99af" targetNamespace="http://schemas.microsoft.com/office/2006/metadata/properties" ma:root="true" ma:fieldsID="dde27d5c2516b98dd4a226755146ef95" ns2:_="" ns3:_="">
    <xsd:import namespace="a18767e8-cf93-49f3-91ce-a8f6dd60da3c"/>
    <xsd:import namespace="bd08a9f6-0989-4476-9b1b-04a2222c99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767e8-cf93-49f3-91ce-a8f6dd60d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6804e01-a998-44f4-875a-20039f002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8a9f6-0989-4476-9b1b-04a2222c99a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821528c-bb42-4d8e-bd6e-df6802e85c76}" ma:internalName="TaxCatchAll" ma:showField="CatchAllData" ma:web="bd08a9f6-0989-4476-9b1b-04a2222c99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08a9f6-0989-4476-9b1b-04a2222c99af" xsi:nil="true"/>
    <lcf76f155ced4ddcb4097134ff3c332f xmlns="a18767e8-cf93-49f3-91ce-a8f6dd60da3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3DB900-2100-406A-A772-9C8DDF5C4A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8767e8-cf93-49f3-91ce-a8f6dd60da3c"/>
    <ds:schemaRef ds:uri="bd08a9f6-0989-4476-9b1b-04a2222c99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51F74C-4C35-48C0-8026-EC048E92E91E}">
  <ds:schemaRefs>
    <ds:schemaRef ds:uri="http://schemas.microsoft.com/office/2006/metadata/properties"/>
    <ds:schemaRef ds:uri="http://schemas.microsoft.com/office/infopath/2007/PartnerControls"/>
    <ds:schemaRef ds:uri="bd08a9f6-0989-4476-9b1b-04a2222c99af"/>
    <ds:schemaRef ds:uri="a18767e8-cf93-49f3-91ce-a8f6dd60da3c"/>
  </ds:schemaRefs>
</ds:datastoreItem>
</file>

<file path=customXml/itemProps3.xml><?xml version="1.0" encoding="utf-8"?>
<ds:datastoreItem xmlns:ds="http://schemas.openxmlformats.org/officeDocument/2006/customXml" ds:itemID="{57E747EF-C2E0-4B0A-9D12-479280135A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2026-09-17T05:57:37Z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0x0101001CE45399D936744B99304F4C906F0E27</vt:lpwstr>
  </property>
  <property fmtid="{D5CDD505-2E9C-101B-9397-08002B2CF9AE}" pid="3" name="MediaServiceImageTags">
    <vt:lpwstr/>
  </property>
</Properties>
</file>